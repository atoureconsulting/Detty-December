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eople" sheetId="2" state="visible" r:id="rId2"/>
    <sheet name="Timetable" sheetId="3" state="visible" r:id="rId3"/>
    <sheet name="Budget Summary" sheetId="4" state="visible" r:id="rId4"/>
    <sheet name="Sponsors &amp; Conta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dd-mmm-yyyy"/>
  </numFmts>
  <fonts count="11">
    <font>
      <name val="Calibri"/>
      <family val="2"/>
      <color theme="1"/>
      <sz val="11"/>
      <scheme val="minor"/>
    </font>
    <font>
      <name val="Arial"/>
      <b val="1"/>
      <color rgb="001D1611"/>
      <sz val="14"/>
    </font>
    <font>
      <name val="Arial"/>
      <i val="1"/>
      <color rgb="006B6B6B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color rgb="008A6D2F"/>
      <sz val="12"/>
    </font>
  </fonts>
  <fills count="6">
    <fill>
      <patternFill/>
    </fill>
    <fill>
      <patternFill patternType="gray125"/>
    </fill>
    <fill>
      <patternFill patternType="solid">
        <fgColor rgb="008A6D2F"/>
      </patternFill>
    </fill>
    <fill>
      <patternFill patternType="solid">
        <fgColor rgb="00FFFF99"/>
      </patternFill>
    </fill>
    <fill>
      <patternFill patternType="solid">
        <fgColor rgb="001D1611"/>
      </patternFill>
    </fill>
    <fill>
      <patternFill patternType="solid">
        <fgColor rgb="00F4ECD8"/>
      </patternFill>
    </fill>
  </fills>
  <borders count="2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0" fontId="2" fillId="0" borderId="0" applyAlignment="1" pivotButton="0" quotePrefix="0" xfId="0">
      <alignment vertical="top" wrapText="1"/>
    </xf>
    <xf numFmtId="164" fontId="7" fillId="3" borderId="1" pivotButton="0" quotePrefix="0" xfId="0"/>
    <xf numFmtId="165" fontId="7" fillId="3" borderId="1" pivotButton="0" quotePrefix="0" xfId="0"/>
    <xf numFmtId="0" fontId="8" fillId="4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6" fillId="0" borderId="0" pivotButton="0" quotePrefix="0" xfId="0"/>
    <xf numFmtId="166" fontId="7" fillId="0" borderId="1" pivotButton="0" quotePrefix="0" xfId="0"/>
    <xf numFmtId="0" fontId="9" fillId="0" borderId="1" pivotButton="0" quotePrefix="0" xfId="0"/>
    <xf numFmtId="166" fontId="0" fillId="0" borderId="1" pivotButton="0" quotePrefix="0" xfId="0"/>
    <xf numFmtId="166" fontId="9" fillId="0" borderId="1" pivotButton="0" quotePrefix="0" xfId="0"/>
    <xf numFmtId="0" fontId="2" fillId="0" borderId="0" applyAlignment="1" pivotButton="0" quotePrefix="0" xfId="0">
      <alignment wrapText="1"/>
    </xf>
    <xf numFmtId="0" fontId="8" fillId="4" borderId="0" applyAlignment="1" pivotButton="0" quotePrefix="0" xfId="0">
      <alignment vertical="center" wrapText="1"/>
    </xf>
    <xf numFmtId="0" fontId="4" fillId="0" borderId="0" pivotButton="0" quotePrefix="0" xfId="0"/>
    <xf numFmtId="164" fontId="5" fillId="0" borderId="1" pivotButton="0" quotePrefix="0" xfId="0"/>
    <xf numFmtId="164" fontId="6" fillId="0" borderId="1" pivotButton="0" quotePrefix="0" xfId="0"/>
    <xf numFmtId="0" fontId="10" fillId="0" borderId="0" pivotButton="0" quotePrefix="0" xfId="0"/>
    <xf numFmtId="164" fontId="10" fillId="5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40" customWidth="1" min="3" max="3"/>
  </cols>
  <sheetData>
    <row r="1">
      <c r="A1" s="1" t="inlineStr">
        <is>
          <t>ASSUMPTIONS — edit only the yellow cells</t>
        </is>
      </c>
    </row>
    <row r="2">
      <c r="A2" s="2" t="inlineStr">
        <is>
          <t>Group-size counts below are pulled from the People tab. Everything else here is an editable working assumption, not a quote.</t>
        </is>
      </c>
    </row>
    <row r="4">
      <c r="A4" s="3" t="inlineStr">
        <is>
          <t>Group size (from People tab)</t>
        </is>
      </c>
      <c r="B4" s="4" t="n"/>
      <c r="C4" s="4" t="n"/>
    </row>
    <row r="5">
      <c r="A5" s="5" t="inlineStr">
        <is>
          <t>Core titleholders traveling</t>
        </is>
      </c>
      <c r="B5" s="6">
        <f>People!F31</f>
        <v/>
      </c>
    </row>
    <row r="6">
      <c r="A6" s="5" t="inlineStr">
        <is>
          <t>Reserves traveling</t>
        </is>
      </c>
      <c r="B6" s="6">
        <f>People!F32</f>
        <v/>
      </c>
    </row>
    <row r="7">
      <c r="A7" s="5" t="inlineStr">
        <is>
          <t>Support crew / staff traveling</t>
        </is>
      </c>
      <c r="B7" s="6">
        <f>People!F33</f>
        <v/>
      </c>
    </row>
    <row r="8">
      <c r="A8" s="7" t="inlineStr">
        <is>
          <t>Total travelers</t>
        </is>
      </c>
      <c r="B8" s="7">
        <f>SUM(B5:B7)</f>
        <v/>
      </c>
    </row>
    <row r="9">
      <c r="A9" s="5" t="inlineStr">
        <is>
          <t>Rooms needed (titleholders = single, crew = twin-share)</t>
        </is>
      </c>
      <c r="B9" s="6">
        <f>B5+B6+ROUNDUP(B7/2,0)</f>
        <v/>
      </c>
    </row>
    <row r="11">
      <c r="A11" s="3" t="inlineStr">
        <is>
          <t>Nights per leg</t>
        </is>
      </c>
      <c r="B11" s="4" t="n"/>
      <c r="C11" s="4" t="n"/>
    </row>
    <row r="12">
      <c r="A12" s="5" t="inlineStr">
        <is>
          <t>Côte d'Ivoire</t>
        </is>
      </c>
      <c r="B12" s="8" t="n">
        <v>5</v>
      </c>
    </row>
    <row r="13">
      <c r="A13" s="5" t="inlineStr">
        <is>
          <t>Ghana</t>
        </is>
      </c>
      <c r="B13" s="8" t="n">
        <v>4</v>
      </c>
    </row>
    <row r="14">
      <c r="A14" s="5" t="inlineStr">
        <is>
          <t>Nigeria</t>
        </is>
      </c>
      <c r="B14" s="8" t="n">
        <v>4</v>
      </c>
    </row>
    <row r="15">
      <c r="A15" s="5" t="inlineStr">
        <is>
          <t>Benin (unconfirmed 4th leg)</t>
        </is>
      </c>
      <c r="B15" s="8" t="n">
        <v>2</v>
      </c>
    </row>
    <row r="16">
      <c r="A16" s="7" t="inlineStr">
        <is>
          <t>Total nights — 3 confirmed legs</t>
        </is>
      </c>
      <c r="B16" s="7">
        <f>B12+B13+B14</f>
        <v/>
      </c>
    </row>
    <row r="17">
      <c r="A17" s="7" t="inlineStr">
        <is>
          <t>Total nights — with Benin</t>
        </is>
      </c>
      <c r="B17" s="7">
        <f>B12+B13+B14+B15</f>
        <v/>
      </c>
    </row>
    <row r="19">
      <c r="A19" s="3" t="inlineStr">
        <is>
          <t>Hotel rate per night, USD per room (researched, Sep 2026)</t>
        </is>
      </c>
      <c r="B19" s="4" t="n"/>
      <c r="C19" s="4" t="n"/>
    </row>
    <row r="20">
      <c r="A20" s="5" t="inlineStr">
        <is>
          <t>Côte d'Ivoire — Sofitel Abidjan Hotel Ivoire</t>
        </is>
      </c>
      <c r="B20" s="8" t="n">
        <v>220</v>
      </c>
    </row>
    <row r="21">
      <c r="A21" s="5" t="inlineStr">
        <is>
          <t>Ghana — Kempinski Hotel Gold Coast City, Accra</t>
        </is>
      </c>
      <c r="B21" s="8" t="n">
        <v>320</v>
      </c>
    </row>
    <row r="22">
      <c r="A22" s="5" t="inlineStr">
        <is>
          <t>Nigeria — Eko Hotel &amp; Suites, Lagos</t>
        </is>
      </c>
      <c r="B22" s="8" t="n">
        <v>210</v>
      </c>
    </row>
    <row r="23">
      <c r="A23" s="5" t="inlineStr">
        <is>
          <t>Benin — Golden Tulip Le Diplomate, Cotonou</t>
        </is>
      </c>
      <c r="B23" s="8" t="n">
        <v>220</v>
      </c>
    </row>
    <row r="24">
      <c r="A24" s="2" t="inlineStr">
        <is>
          <t>Source: public rate-tracker averages (momondo/kayak/hotelscombined/tripadvisor), Sep 2026 — not negotiated group rates.</t>
        </is>
      </c>
    </row>
    <row r="26">
      <c r="A26" s="3" t="inlineStr">
        <is>
          <t>Ground transport</t>
        </is>
      </c>
      <c r="B26" s="4" t="n"/>
      <c r="C26" s="4" t="n"/>
    </row>
    <row r="27">
      <c r="A27" s="5" t="inlineStr">
        <is>
          <t>Vehicles per leg (chauffeured SUV + security)</t>
        </is>
      </c>
      <c r="B27" s="8" t="n">
        <v>4</v>
      </c>
    </row>
    <row r="28">
      <c r="A28" s="5" t="inlineStr">
        <is>
          <t>Vehicle day rate, USD</t>
        </is>
      </c>
      <c r="B28" s="8" t="n">
        <v>250</v>
      </c>
    </row>
    <row r="29">
      <c r="A29" s="2" t="inlineStr">
        <is>
          <t>Source: Lagos VIP chauffeur SUV hire benchmarked at ~₦190k-300k/day; used as a blended proxy for all 4 cities.</t>
        </is>
      </c>
    </row>
    <row r="31">
      <c r="A31" s="3" t="inlineStr">
        <is>
          <t>Per-traveler costs, USD</t>
        </is>
      </c>
      <c r="B31" s="4" t="n"/>
      <c r="C31" s="4" t="n"/>
    </row>
    <row r="32">
      <c r="A32" s="5" t="inlineStr">
        <is>
          <t>Per diem / incidentals per day</t>
        </is>
      </c>
      <c r="B32" s="8" t="n">
        <v>75</v>
      </c>
    </row>
    <row r="33">
      <c r="A33" s="5" t="inlineStr">
        <is>
          <t>Intra-region flight, per hop</t>
        </is>
      </c>
      <c r="B33" s="8" t="n">
        <v>350</v>
      </c>
    </row>
    <row r="34">
      <c r="A34" s="5" t="inlineStr">
        <is>
          <t>International flight, avg round trip</t>
        </is>
      </c>
      <c r="B34" s="8" t="n">
        <v>1500</v>
      </c>
    </row>
    <row r="35">
      <c r="A35" s="5" t="inlineStr">
        <is>
          <t>Travelers needing an international flight</t>
        </is>
      </c>
      <c r="B35" s="8" t="n">
        <v>14</v>
      </c>
    </row>
    <row r="36">
      <c r="A36" s="5" t="inlineStr">
        <is>
          <t>Visa cost, avg across countries visited</t>
        </is>
      </c>
      <c r="B36" s="8" t="n">
        <v>150</v>
      </c>
    </row>
    <row r="37">
      <c r="A37" s="5" t="inlineStr">
        <is>
          <t>Travelers needing visas</t>
        </is>
      </c>
      <c r="B37" s="8" t="n">
        <v>14</v>
      </c>
    </row>
    <row r="38">
      <c r="A38" s="5" t="inlineStr">
        <is>
          <t>Travel insurance, per person, full trip</t>
        </is>
      </c>
      <c r="B38" s="8" t="n">
        <v>45</v>
      </c>
    </row>
    <row r="39" ht="28" customHeight="1">
      <c r="A39" s="9" t="inlineStr">
        <is>
          <t>Intra-region hop cost grounded on Abidjan–Accra fares ($220-$460 round trip); intl flight is a rough blend, not origin-specific — 11 of 13 titleholders fly in from outside West Africa.</t>
        </is>
      </c>
    </row>
    <row r="41">
      <c r="A41" s="3" t="inlineStr">
        <is>
          <t>Flat / placeholder costs</t>
        </is>
      </c>
      <c r="B41" s="4" t="n"/>
      <c r="C41" s="4" t="n"/>
    </row>
    <row r="42">
      <c r="A42" s="5" t="inlineStr">
        <is>
          <t>Production &amp; hospitality (styling, ceremony support, fixers/translators)</t>
        </is>
      </c>
      <c r="B42" s="10" t="n">
        <v>45000</v>
      </c>
    </row>
    <row r="43">
      <c r="A43" s="2" t="inlineStr">
        <is>
          <t>Placeholder only — no vendor quotes yet, and assumes zero sponsor in-kind offset.</t>
        </is>
      </c>
    </row>
    <row r="44">
      <c r="A44" s="5" t="inlineStr">
        <is>
          <t>Contingency</t>
        </is>
      </c>
      <c r="B44" s="11" t="n">
        <v>0.12</v>
      </c>
    </row>
  </sheetData>
  <mergeCells count="8">
    <mergeCell ref="A41:C41"/>
    <mergeCell ref="A19:C19"/>
    <mergeCell ref="A11:C11"/>
    <mergeCell ref="A1:C1"/>
    <mergeCell ref="A31:C31"/>
    <mergeCell ref="A39:C39"/>
    <mergeCell ref="A4:C4"/>
    <mergeCell ref="A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0" customWidth="1" min="3" max="3"/>
    <col width="32" customWidth="1" min="4" max="4"/>
    <col width="10" customWidth="1" min="5" max="5"/>
    <col width="12" customWidth="1" min="6" max="6"/>
  </cols>
  <sheetData>
    <row r="1">
      <c r="A1" s="1" t="inlineStr">
        <is>
          <t>PEOPLE — traveling party</t>
        </is>
      </c>
    </row>
    <row r="2">
      <c r="A2" s="2" t="inlineStr">
        <is>
          <t>Traveling (Y/N) is the only editable column here — it drives every headcount in Assumptions.</t>
        </is>
      </c>
    </row>
    <row r="4">
      <c r="A4" s="3" t="inlineStr">
        <is>
          <t>Titleholders</t>
        </is>
      </c>
      <c r="B4" s="4" t="n"/>
      <c r="C4" s="4" t="n"/>
      <c r="D4" s="4" t="n"/>
      <c r="E4" s="4" t="n"/>
      <c r="F4" s="4" t="n"/>
    </row>
    <row r="5">
      <c r="A5" s="12" t="inlineStr">
        <is>
          <t>#</t>
        </is>
      </c>
      <c r="B5" s="12" t="inlineStr">
        <is>
          <t>Name</t>
        </is>
      </c>
      <c r="C5" s="12" t="inlineStr">
        <is>
          <t>Nationality</t>
        </is>
      </c>
      <c r="D5" s="12" t="inlineStr">
        <is>
          <t>Title</t>
        </is>
      </c>
      <c r="E5" s="12" t="inlineStr">
        <is>
          <t>Status</t>
        </is>
      </c>
      <c r="F5" s="12" t="inlineStr">
        <is>
          <t>Traveling</t>
        </is>
      </c>
    </row>
    <row r="6">
      <c r="A6" s="13" t="n">
        <v>1</v>
      </c>
      <c r="B6" s="13" t="inlineStr">
        <is>
          <t>Olivia Yacé</t>
        </is>
      </c>
      <c r="C6" s="13" t="inlineStr">
        <is>
          <t>Côte d'Ivoire</t>
        </is>
      </c>
      <c r="D6" s="13" t="inlineStr">
        <is>
          <t>Miss Côte d'Ivoire 2021 · host/convener</t>
        </is>
      </c>
      <c r="E6" s="13" t="inlineStr">
        <is>
          <t>Core</t>
        </is>
      </c>
      <c r="F6" s="8" t="inlineStr">
        <is>
          <t>Y</t>
        </is>
      </c>
    </row>
    <row r="7">
      <c r="A7" s="13" t="n">
        <v>2</v>
      </c>
      <c r="B7" s="13" t="inlineStr">
        <is>
          <t>Camille Sabina Thomas</t>
        </is>
      </c>
      <c r="C7" s="13" t="inlineStr">
        <is>
          <t>Curaçao</t>
        </is>
      </c>
      <c r="D7" s="13" t="inlineStr">
        <is>
          <t>Miss Universe Curaçao 2025</t>
        </is>
      </c>
      <c r="E7" s="13" t="inlineStr">
        <is>
          <t>Core</t>
        </is>
      </c>
      <c r="F7" s="8" t="inlineStr">
        <is>
          <t>Y</t>
        </is>
      </c>
    </row>
    <row r="8">
      <c r="A8" s="13" t="n">
        <v>3</v>
      </c>
      <c r="B8" s="13" t="inlineStr">
        <is>
          <t>Nadia Mejia</t>
        </is>
      </c>
      <c r="C8" s="13" t="inlineStr">
        <is>
          <t>Ecuador / USA</t>
        </is>
      </c>
      <c r="D8" s="13" t="inlineStr">
        <is>
          <t>Miss Universe Ecuador 2025</t>
        </is>
      </c>
      <c r="E8" s="13" t="inlineStr">
        <is>
          <t>Core</t>
        </is>
      </c>
      <c r="F8" s="8" t="inlineStr">
        <is>
          <t>Y</t>
        </is>
      </c>
    </row>
    <row r="9">
      <c r="A9" s="13" t="n">
        <v>4</v>
      </c>
      <c r="B9" s="13" t="inlineStr">
        <is>
          <t>Sheynnis Palacios</t>
        </is>
      </c>
      <c r="C9" s="13" t="inlineStr">
        <is>
          <t>Nicaragua</t>
        </is>
      </c>
      <c r="D9" s="13" t="inlineStr">
        <is>
          <t>Miss Universe 2023</t>
        </is>
      </c>
      <c r="E9" s="13" t="inlineStr">
        <is>
          <t>Core</t>
        </is>
      </c>
      <c r="F9" s="8" t="inlineStr">
        <is>
          <t>Y</t>
        </is>
      </c>
    </row>
    <row r="10">
      <c r="A10" s="13" t="n">
        <v>5</v>
      </c>
      <c r="B10" s="13" t="inlineStr">
        <is>
          <t>Angélique Angarni-Filopon</t>
        </is>
      </c>
      <c r="C10" s="13" t="inlineStr">
        <is>
          <t>Martinique</t>
        </is>
      </c>
      <c r="D10" s="13" t="inlineStr">
        <is>
          <t>Miss France 2025</t>
        </is>
      </c>
      <c r="E10" s="13" t="inlineStr">
        <is>
          <t>Core</t>
        </is>
      </c>
      <c r="F10" s="8" t="inlineStr">
        <is>
          <t>Y</t>
        </is>
      </c>
    </row>
    <row r="11">
      <c r="A11" s="13" t="n">
        <v>6</v>
      </c>
      <c r="B11" s="13" t="inlineStr">
        <is>
          <t>Ophély Mézino</t>
        </is>
      </c>
      <c r="C11" s="13" t="inlineStr">
        <is>
          <t>Guadeloupe</t>
        </is>
      </c>
      <c r="D11" s="13" t="inlineStr">
        <is>
          <t>Miss World 2019 1st runner-up</t>
        </is>
      </c>
      <c r="E11" s="13" t="inlineStr">
        <is>
          <t>Core</t>
        </is>
      </c>
      <c r="F11" s="8" t="inlineStr">
        <is>
          <t>Y</t>
        </is>
      </c>
    </row>
    <row r="12">
      <c r="A12" s="13" t="n">
        <v>7</v>
      </c>
      <c r="B12" s="13" t="inlineStr">
        <is>
          <t>Veena Praveenar Singh</t>
        </is>
      </c>
      <c r="C12" s="13" t="inlineStr">
        <is>
          <t>Thailand</t>
        </is>
      </c>
      <c r="D12" s="13" t="inlineStr">
        <is>
          <t>Miss Universe Thailand 2025</t>
        </is>
      </c>
      <c r="E12" s="13" t="inlineStr">
        <is>
          <t>Core</t>
        </is>
      </c>
      <c r="F12" s="8" t="inlineStr">
        <is>
          <t>Y</t>
        </is>
      </c>
    </row>
    <row r="13">
      <c r="A13" s="13" t="n">
        <v>8</v>
      </c>
      <c r="B13" s="13" t="inlineStr">
        <is>
          <t>Dorcas Dienda</t>
        </is>
      </c>
      <c r="C13" s="13" t="inlineStr">
        <is>
          <t>DR Congo</t>
        </is>
      </c>
      <c r="D13" s="13" t="inlineStr">
        <is>
          <t>Miss Africa 2019 / Miss Universe DR Congo 2025</t>
        </is>
      </c>
      <c r="E13" s="13" t="inlineStr">
        <is>
          <t>Core</t>
        </is>
      </c>
      <c r="F13" s="8" t="inlineStr">
        <is>
          <t>Y</t>
        </is>
      </c>
    </row>
    <row r="14">
      <c r="A14" s="13" t="n">
        <v>9</v>
      </c>
      <c r="B14" s="13" t="inlineStr">
        <is>
          <t>Bella Zabaneh</t>
        </is>
      </c>
      <c r="C14" s="13" t="inlineStr">
        <is>
          <t>Belize</t>
        </is>
      </c>
      <c r="D14" s="13" t="inlineStr">
        <is>
          <t>Miss Universe Belize 2025</t>
        </is>
      </c>
      <c r="E14" s="13" t="inlineStr">
        <is>
          <t>Core</t>
        </is>
      </c>
      <c r="F14" s="8" t="inlineStr">
        <is>
          <t>Y</t>
        </is>
      </c>
    </row>
    <row r="15">
      <c r="A15" s="13" t="n">
        <v>10</v>
      </c>
      <c r="B15" s="13" t="inlineStr">
        <is>
          <t>Isabella Menin</t>
        </is>
      </c>
      <c r="C15" s="13" t="inlineStr">
        <is>
          <t>Brazil</t>
        </is>
      </c>
      <c r="D15" s="13" t="inlineStr">
        <is>
          <t>Miss Grand International 2022</t>
        </is>
      </c>
      <c r="E15" s="13" t="inlineStr">
        <is>
          <t>Core</t>
        </is>
      </c>
      <c r="F15" s="8" t="inlineStr">
        <is>
          <t>Y</t>
        </is>
      </c>
    </row>
    <row r="16">
      <c r="A16" s="13" t="n">
        <v>11</v>
      </c>
      <c r="B16" s="13" t="inlineStr">
        <is>
          <t>Alicia Aylies</t>
        </is>
      </c>
      <c r="C16" s="13" t="inlineStr">
        <is>
          <t>French Guiana</t>
        </is>
      </c>
      <c r="D16" s="13" t="inlineStr">
        <is>
          <t>Miss France 2017</t>
        </is>
      </c>
      <c r="E16" s="13" t="inlineStr">
        <is>
          <t>Reserve</t>
        </is>
      </c>
      <c r="F16" s="8" t="inlineStr">
        <is>
          <t>N</t>
        </is>
      </c>
    </row>
    <row r="17">
      <c r="A17" s="13" t="n">
        <v>12</v>
      </c>
      <c r="B17" s="13" t="inlineStr">
        <is>
          <t>Sanly Liu (Hendrawati)</t>
        </is>
      </c>
      <c r="C17" s="13" t="inlineStr">
        <is>
          <t>Indonesia</t>
        </is>
      </c>
      <c r="D17" s="13" t="inlineStr">
        <is>
          <t>Miss Universe Indonesia 2025</t>
        </is>
      </c>
      <c r="E17" s="13" t="inlineStr">
        <is>
          <t>Reserve</t>
        </is>
      </c>
      <c r="F17" s="8" t="inlineStr">
        <is>
          <t>N</t>
        </is>
      </c>
    </row>
    <row r="18">
      <c r="A18" s="13" t="n">
        <v>13</v>
      </c>
      <c r="B18" s="13" t="inlineStr">
        <is>
          <t>Hương Giang</t>
        </is>
      </c>
      <c r="C18" s="13" t="inlineStr">
        <is>
          <t>Vietnam</t>
        </is>
      </c>
      <c r="D18" s="13" t="inlineStr">
        <is>
          <t>Miss International Queen 2018</t>
        </is>
      </c>
      <c r="E18" s="13" t="inlineStr">
        <is>
          <t>Reserve</t>
        </is>
      </c>
      <c r="F18" s="8" t="inlineStr">
        <is>
          <t>N</t>
        </is>
      </c>
    </row>
    <row r="20">
      <c r="A20" s="3" t="inlineStr">
        <is>
          <t>Crew / staff (roles TBC — the client fills these in)</t>
        </is>
      </c>
      <c r="B20" s="4" t="n"/>
      <c r="C20" s="4" t="n"/>
      <c r="D20" s="4" t="n"/>
      <c r="E20" s="4" t="n"/>
      <c r="F20" s="4" t="n"/>
    </row>
    <row r="21">
      <c r="A21" s="12" t="inlineStr">
        <is>
          <t>#</t>
        </is>
      </c>
      <c r="B21" s="12" t="inlineStr">
        <is>
          <t>Role</t>
        </is>
      </c>
      <c r="C21" s="12" t="inlineStr">
        <is>
          <t>Name</t>
        </is>
      </c>
      <c r="D21" s="12" t="inlineStr"/>
      <c r="E21" s="12" t="inlineStr"/>
      <c r="F21" s="12" t="inlineStr">
        <is>
          <t>Traveling</t>
        </is>
      </c>
    </row>
    <row r="22">
      <c r="A22" s="13" t="n">
        <v>1</v>
      </c>
      <c r="B22" s="13" t="inlineStr">
        <is>
          <t>Tour producer / coordinator</t>
        </is>
      </c>
      <c r="C22" s="14" t="inlineStr">
        <is>
          <t>TBC</t>
        </is>
      </c>
      <c r="D22" s="13" t="inlineStr"/>
      <c r="E22" s="13" t="inlineStr"/>
      <c r="F22" s="8" t="inlineStr">
        <is>
          <t>Y</t>
        </is>
      </c>
    </row>
    <row r="23">
      <c r="A23" s="13" t="n">
        <v>2</v>
      </c>
      <c r="B23" s="13" t="inlineStr">
        <is>
          <t>Content lead (photography)</t>
        </is>
      </c>
      <c r="C23" s="14" t="inlineStr">
        <is>
          <t>TBC</t>
        </is>
      </c>
      <c r="D23" s="13" t="inlineStr"/>
      <c r="E23" s="13" t="inlineStr"/>
      <c r="F23" s="8" t="inlineStr">
        <is>
          <t>Y</t>
        </is>
      </c>
    </row>
    <row r="24">
      <c r="A24" s="13" t="n">
        <v>3</v>
      </c>
      <c r="B24" s="13" t="inlineStr">
        <is>
          <t>Videographer</t>
        </is>
      </c>
      <c r="C24" s="14" t="inlineStr">
        <is>
          <t>TBC</t>
        </is>
      </c>
      <c r="D24" s="13" t="inlineStr"/>
      <c r="E24" s="13" t="inlineStr"/>
      <c r="F24" s="8" t="inlineStr">
        <is>
          <t>Y</t>
        </is>
      </c>
    </row>
    <row r="25">
      <c r="A25" s="13" t="n">
        <v>4</v>
      </c>
      <c r="B25" s="13" t="inlineStr">
        <is>
          <t>Security lead</t>
        </is>
      </c>
      <c r="C25" s="14" t="inlineStr">
        <is>
          <t>TBC</t>
        </is>
      </c>
      <c r="D25" s="13" t="inlineStr"/>
      <c r="E25" s="13" t="inlineStr"/>
      <c r="F25" s="8" t="inlineStr">
        <is>
          <t>Y</t>
        </is>
      </c>
    </row>
    <row r="26">
      <c r="A26" s="13" t="n">
        <v>5</v>
      </c>
      <c r="B26" s="13" t="inlineStr">
        <is>
          <t>Hair &amp; makeup artist</t>
        </is>
      </c>
      <c r="C26" s="14" t="inlineStr">
        <is>
          <t>TBC</t>
        </is>
      </c>
      <c r="D26" s="13" t="inlineStr"/>
      <c r="E26" s="13" t="inlineStr"/>
      <c r="F26" s="8" t="inlineStr">
        <is>
          <t>Y</t>
        </is>
      </c>
    </row>
    <row r="27">
      <c r="A27" s="13" t="n">
        <v>6</v>
      </c>
      <c r="B27" s="13" t="inlineStr">
        <is>
          <t>Logistics coordinator</t>
        </is>
      </c>
      <c r="C27" s="14" t="inlineStr">
        <is>
          <t>TBC</t>
        </is>
      </c>
      <c r="D27" s="13" t="inlineStr"/>
      <c r="E27" s="13" t="inlineStr"/>
      <c r="F27" s="8" t="inlineStr">
        <is>
          <t>Y</t>
        </is>
      </c>
    </row>
    <row r="28">
      <c r="A28" s="13" t="n">
        <v>7</v>
      </c>
      <c r="B28" s="13" t="inlineStr">
        <is>
          <t>PR / media liaison</t>
        </is>
      </c>
      <c r="C28" s="14" t="inlineStr">
        <is>
          <t>TBC</t>
        </is>
      </c>
      <c r="D28" s="13" t="inlineStr"/>
      <c r="E28" s="13" t="inlineStr"/>
      <c r="F28" s="8" t="inlineStr">
        <is>
          <t>Y</t>
        </is>
      </c>
    </row>
    <row r="30">
      <c r="A30" s="3" t="inlineStr">
        <is>
          <t>Totals (feed Assumptions tab)</t>
        </is>
      </c>
      <c r="B30" s="4" t="n"/>
      <c r="C30" s="4" t="n"/>
      <c r="D30" s="4" t="n"/>
      <c r="E30" s="4" t="n"/>
      <c r="F30" s="4" t="n"/>
    </row>
    <row r="31">
      <c r="A31" s="15" t="inlineStr">
        <is>
          <t>Core titleholders traveling</t>
        </is>
      </c>
      <c r="F31" s="7">
        <f>COUNTIFS(E6:E18,"Core",F6:F18,"Y")</f>
        <v/>
      </c>
    </row>
    <row r="32">
      <c r="A32" s="15" t="inlineStr">
        <is>
          <t>Reserves traveling</t>
        </is>
      </c>
      <c r="F32" s="7">
        <f>COUNTIFS(E6:E18,"Reserve",F6:F18,"Y")</f>
        <v/>
      </c>
    </row>
    <row r="33">
      <c r="A33" s="15" t="inlineStr">
        <is>
          <t>Crew traveling</t>
        </is>
      </c>
      <c r="F33" s="7">
        <f>COUNTIF(F22:F28,"Y")</f>
        <v/>
      </c>
    </row>
  </sheetData>
  <mergeCells count="4">
    <mergeCell ref="A20:F20"/>
    <mergeCell ref="A30:F30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4" customWidth="1" min="4" max="4"/>
    <col width="9" customWidth="1" min="5" max="5"/>
    <col width="14" customWidth="1" min="6" max="6"/>
    <col width="32" customWidth="1" min="7" max="7"/>
    <col width="46" customWidth="1" min="8" max="8"/>
  </cols>
  <sheetData>
    <row r="1">
      <c r="A1" s="1" t="inlineStr">
        <is>
          <t>TIMETABLE — working itinerary (4-leg scenario, incl. Benin)</t>
        </is>
      </c>
    </row>
    <row r="2">
      <c r="A2" s="2" t="inlineStr">
        <is>
          <t>Nights link live to the Assumptions tab. Dates are working placeholders, not confirmed bookings.</t>
        </is>
      </c>
    </row>
    <row r="4">
      <c r="A4" s="12" t="inlineStr">
        <is>
          <t>Leg</t>
        </is>
      </c>
      <c r="B4" s="12" t="inlineStr">
        <is>
          <t>Country</t>
        </is>
      </c>
      <c r="C4" s="12" t="inlineStr">
        <is>
          <t>Status</t>
        </is>
      </c>
      <c r="D4" s="12" t="inlineStr">
        <is>
          <t>Start</t>
        </is>
      </c>
      <c r="E4" s="12" t="inlineStr">
        <is>
          <t>Nights</t>
        </is>
      </c>
      <c r="F4" s="12" t="inlineStr">
        <is>
          <t>End</t>
        </is>
      </c>
      <c r="G4" s="12" t="inlineStr">
        <is>
          <t>Hotel (working pick)</t>
        </is>
      </c>
      <c r="H4" s="12" t="inlineStr">
        <is>
          <t>Notes</t>
        </is>
      </c>
    </row>
    <row r="5" ht="30" customHeight="1">
      <c r="A5" s="13" t="inlineStr">
        <is>
          <t>Leg 1</t>
        </is>
      </c>
      <c r="B5" s="13" t="inlineStr">
        <is>
          <t>Côte d'Ivoire</t>
        </is>
      </c>
      <c r="C5" s="13" t="inlineStr">
        <is>
          <t>Confirmed — opens tour</t>
        </is>
      </c>
      <c r="D5" s="16">
        <f>DATE(2026,12,26)</f>
        <v/>
      </c>
      <c r="E5" s="17">
        <f>Assumptions!B12</f>
        <v/>
      </c>
      <c r="F5" s="18">
        <f>D5+E5-1</f>
        <v/>
      </c>
      <c r="G5" s="13" t="inlineStr">
        <is>
          <t>Sofitel Abidjan Hotel Ivoire</t>
        </is>
      </c>
      <c r="H5" s="14" t="inlineStr">
        <is>
          <t>Mother Africa Festival (27-28 Dec, Marcory Zone 4) overlaps this leg.</t>
        </is>
      </c>
    </row>
    <row r="6" ht="30" customHeight="1">
      <c r="A6" s="13" t="inlineStr">
        <is>
          <t>Leg 2</t>
        </is>
      </c>
      <c r="B6" s="13" t="inlineStr">
        <is>
          <t>Ghana</t>
        </is>
      </c>
      <c r="C6" s="13" t="inlineStr">
        <is>
          <t>Confirmed</t>
        </is>
      </c>
      <c r="D6" s="19">
        <f>F5+1</f>
        <v/>
      </c>
      <c r="E6" s="17">
        <f>Assumptions!B13</f>
        <v/>
      </c>
      <c r="F6" s="18">
        <f>D6+E6-1</f>
        <v/>
      </c>
      <c r="G6" s="13" t="inlineStr">
        <is>
          <t>Kempinski Hotel Gold Coast City, Accra</t>
        </is>
      </c>
      <c r="H6" s="14" t="inlineStr">
        <is>
          <t>Rapperholic 2026 (31 Dec) and the AfroFuture Festival tail-end fall inside this window.</t>
        </is>
      </c>
    </row>
    <row r="7" ht="30" customHeight="1">
      <c r="A7" s="13" t="inlineStr">
        <is>
          <t>Leg 3</t>
        </is>
      </c>
      <c r="B7" s="13" t="inlineStr">
        <is>
          <t>Benin</t>
        </is>
      </c>
      <c r="C7" s="13" t="inlineStr">
        <is>
          <t>Unconfirmed — pending sign-off</t>
        </is>
      </c>
      <c r="D7" s="19">
        <f>F6+1</f>
        <v/>
      </c>
      <c r="E7" s="17">
        <f>Assumptions!B15</f>
        <v/>
      </c>
      <c r="F7" s="18">
        <f>D7+E7-1</f>
        <v/>
      </c>
      <c r="G7" s="13" t="inlineStr">
        <is>
          <t>Golden Tulip Le Diplomate, Cotonou</t>
        </is>
      </c>
      <c r="H7" s="14" t="inlineStr">
        <is>
          <t>WeLovEya Festival (26-27 Dec) will already be over by these dates — no overlap if the leg lands here.</t>
        </is>
      </c>
    </row>
    <row r="8" ht="30" customHeight="1">
      <c r="A8" s="13" t="inlineStr">
        <is>
          <t>Leg 4</t>
        </is>
      </c>
      <c r="B8" s="13" t="inlineStr">
        <is>
          <t>Nigeria</t>
        </is>
      </c>
      <c r="C8" s="13" t="inlineStr">
        <is>
          <t>Confirmed — closes tour</t>
        </is>
      </c>
      <c r="D8" s="19">
        <f>F7+1</f>
        <v/>
      </c>
      <c r="E8" s="17">
        <f>Assumptions!B14</f>
        <v/>
      </c>
      <c r="F8" s="18">
        <f>D8+E8-1</f>
        <v/>
      </c>
      <c r="G8" s="13" t="inlineStr">
        <is>
          <t>Eko Hotel &amp; Suites, Lagos</t>
        </is>
      </c>
      <c r="H8" s="14" t="inlineStr">
        <is>
          <t>Detty December Fest (Lagos) runs 18-30 Dec — it ends before this leg begins. Route order may need rethinking if attending it matters.</t>
        </is>
      </c>
    </row>
    <row r="10">
      <c r="A10" s="20" t="inlineStr">
        <is>
          <t>If Benin is cut: Nigeria's leg shifts forward by Benin's night count, and the 3-leg total in Budget Summary applies instead of the 4-leg total.</t>
        </is>
      </c>
    </row>
  </sheetData>
  <mergeCells count="2"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7" customWidth="1" min="5" max="5"/>
    <col width="20" customWidth="1" min="6" max="6"/>
    <col width="20" customWidth="1" min="7" max="7"/>
  </cols>
  <sheetData>
    <row r="1">
      <c r="A1" s="1" t="inlineStr">
        <is>
          <t>BUDGET SUMMARY — estimate, not a quote</t>
        </is>
      </c>
    </row>
    <row r="2">
      <c r="A2" s="2" t="inlineStr">
        <is>
          <t>Every figure here is a formula pulling from Assumptions / People. Change an assumption and this whole sheet recalculates.</t>
        </is>
      </c>
    </row>
    <row r="4" ht="30" customHeight="1">
      <c r="A4" s="21" t="inlineStr">
        <is>
          <t>Category</t>
        </is>
      </c>
      <c r="B4" s="21" t="inlineStr">
        <is>
          <t>Côte d'Ivoire</t>
        </is>
      </c>
      <c r="C4" s="21" t="inlineStr">
        <is>
          <t>Ghana</t>
        </is>
      </c>
      <c r="D4" s="21" t="inlineStr">
        <is>
          <t>Nigeria</t>
        </is>
      </c>
      <c r="E4" s="21" t="inlineStr">
        <is>
          <t>Benin (optional)</t>
        </is>
      </c>
      <c r="F4" s="21" t="inlineStr">
        <is>
          <t>Total — 3 confirmed legs</t>
        </is>
      </c>
      <c r="G4" s="21" t="inlineStr">
        <is>
          <t>Total — with Benin</t>
        </is>
      </c>
    </row>
    <row r="5">
      <c r="A5" s="22" t="inlineStr">
        <is>
          <t>Nights</t>
        </is>
      </c>
      <c r="B5" s="6">
        <f>Assumptions!B12</f>
        <v/>
      </c>
      <c r="C5" s="6">
        <f>Assumptions!B13</f>
        <v/>
      </c>
      <c r="D5" s="6">
        <f>Assumptions!B14</f>
        <v/>
      </c>
      <c r="E5" s="6">
        <f>Assumptions!B15</f>
        <v/>
      </c>
      <c r="F5" s="7">
        <f>SUM(B5:D5)</f>
        <v/>
      </c>
      <c r="G5" s="7">
        <f>SUM(B5:E5)</f>
        <v/>
      </c>
    </row>
    <row r="6">
      <c r="A6" s="22" t="inlineStr">
        <is>
          <t>Rooms needed</t>
        </is>
      </c>
      <c r="B6" s="6">
        <f>Assumptions!$B$9</f>
        <v/>
      </c>
      <c r="C6" s="6">
        <f>Assumptions!$B$9</f>
        <v/>
      </c>
      <c r="D6" s="6">
        <f>Assumptions!$B$9</f>
        <v/>
      </c>
      <c r="E6" s="6">
        <f>Assumptions!$B$9</f>
        <v/>
      </c>
    </row>
    <row r="7">
      <c r="A7" s="22" t="inlineStr">
        <is>
          <t>Accommodation</t>
        </is>
      </c>
      <c r="B7" s="23">
        <f>B5*B6*Assumptions!$B$20</f>
        <v/>
      </c>
      <c r="C7" s="23">
        <f>C5*C6*Assumptions!$B$21</f>
        <v/>
      </c>
      <c r="D7" s="23">
        <f>D5*D6*Assumptions!$B$22</f>
        <v/>
      </c>
      <c r="E7" s="23">
        <f>E5*E6*Assumptions!$B$23</f>
        <v/>
      </c>
      <c r="F7" s="24">
        <f>SUM(B7:D7)</f>
        <v/>
      </c>
      <c r="G7" s="24">
        <f>SUM(B7:E7)</f>
        <v/>
      </c>
    </row>
    <row r="8">
      <c r="A8" s="22" t="inlineStr">
        <is>
          <t>Ground transport</t>
        </is>
      </c>
      <c r="B8" s="23">
        <f>Assumptions!$B$27*Assumptions!$B$28*B5</f>
        <v/>
      </c>
      <c r="C8" s="23">
        <f>Assumptions!$B$27*Assumptions!$B$28*C5</f>
        <v/>
      </c>
      <c r="D8" s="23">
        <f>Assumptions!$B$27*Assumptions!$B$28*D5</f>
        <v/>
      </c>
      <c r="E8" s="23">
        <f>Assumptions!$B$27*Assumptions!$B$28*E5</f>
        <v/>
      </c>
      <c r="F8" s="24">
        <f>SUM(B8:D8)</f>
        <v/>
      </c>
      <c r="G8" s="24">
        <f>SUM(B8:E8)</f>
        <v/>
      </c>
    </row>
    <row r="9">
      <c r="A9" s="22" t="inlineStr">
        <is>
          <t>Per diem / incidentals</t>
        </is>
      </c>
      <c r="B9" s="23">
        <f>Assumptions!$B$8*Assumptions!$B$32*B5</f>
        <v/>
      </c>
      <c r="C9" s="23">
        <f>Assumptions!$B$8*Assumptions!$B$32*C5</f>
        <v/>
      </c>
      <c r="D9" s="23">
        <f>Assumptions!$B$8*Assumptions!$B$32*D5</f>
        <v/>
      </c>
      <c r="E9" s="23">
        <f>Assumptions!$B$8*Assumptions!$B$32*E5</f>
        <v/>
      </c>
      <c r="F9" s="24">
        <f>SUM(B9:D9)</f>
        <v/>
      </c>
      <c r="G9" s="24">
        <f>SUM(B9:E9)</f>
        <v/>
      </c>
    </row>
    <row r="10">
      <c r="A10" s="22" t="inlineStr">
        <is>
          <t>Intra-region flight into this leg</t>
        </is>
      </c>
      <c r="B10" s="23" t="n">
        <v>0</v>
      </c>
      <c r="C10" s="23">
        <f>Assumptions!$B$8*Assumptions!$B$33</f>
        <v/>
      </c>
      <c r="D10" s="23">
        <f>Assumptions!$B$8*Assumptions!$B$33</f>
        <v/>
      </c>
      <c r="E10" s="23">
        <f>Assumptions!$B$8*Assumptions!$B$33</f>
        <v/>
      </c>
      <c r="F10" s="24">
        <f>SUM(B10:D10)</f>
        <v/>
      </c>
      <c r="G10" s="24">
        <f>SUM(B10:E10)</f>
        <v/>
      </c>
      <c r="H10" s="2" t="inlineStr">
        <is>
          <t>◄ Nigeria's hop is costed once whether it follows Ghana (3-leg) or Benin (4-leg).</t>
        </is>
      </c>
    </row>
    <row r="11">
      <c r="A11" s="15" t="inlineStr">
        <is>
          <t>Leg subtotal</t>
        </is>
      </c>
      <c r="B11" s="24">
        <f>SUM(B7:B10)</f>
        <v/>
      </c>
      <c r="C11" s="24">
        <f>SUM(C7:C10)</f>
        <v/>
      </c>
      <c r="D11" s="24">
        <f>SUM(D7:D10)</f>
        <v/>
      </c>
      <c r="E11" s="24">
        <f>SUM(E7:E10)</f>
        <v/>
      </c>
      <c r="F11" s="24">
        <f>SUM(B11:D11)</f>
        <v/>
      </c>
      <c r="G11" s="24">
        <f>SUM(B11:E11)</f>
        <v/>
      </c>
    </row>
    <row r="13">
      <c r="A13" s="3" t="inlineStr">
        <is>
          <t>One-time &amp; flat costs</t>
        </is>
      </c>
      <c r="B13" s="4" t="n"/>
      <c r="C13" s="4" t="n"/>
      <c r="D13" s="4" t="n"/>
      <c r="E13" s="4" t="n"/>
      <c r="F13" s="4" t="n"/>
      <c r="G13" s="4" t="n"/>
    </row>
    <row r="14">
      <c r="A14" s="22" t="inlineStr">
        <is>
          <t>International flights</t>
        </is>
      </c>
      <c r="F14" s="23">
        <f>Assumptions!$B$34*Assumptions!$B$35</f>
        <v/>
      </c>
      <c r="G14" s="23">
        <f>Assumptions!$B$34*Assumptions!$B$35</f>
        <v/>
      </c>
    </row>
    <row r="15">
      <c r="A15" s="22" t="inlineStr">
        <is>
          <t>Visas</t>
        </is>
      </c>
      <c r="F15" s="23">
        <f>Assumptions!$B$36*Assumptions!$B$37</f>
        <v/>
      </c>
      <c r="G15" s="23">
        <f>Assumptions!$B$36*Assumptions!$B$37</f>
        <v/>
      </c>
    </row>
    <row r="16">
      <c r="A16" s="22" t="inlineStr">
        <is>
          <t>Travel insurance</t>
        </is>
      </c>
      <c r="F16" s="23">
        <f>Assumptions!$B$38*Assumptions!$B$8</f>
        <v/>
      </c>
      <c r="G16" s="23">
        <f>Assumptions!$B$38*Assumptions!$B$8</f>
        <v/>
      </c>
    </row>
    <row r="17">
      <c r="A17" s="22" t="inlineStr">
        <is>
          <t>Production &amp; hospitality (placeholder)</t>
        </is>
      </c>
      <c r="F17" s="23">
        <f>Assumptions!$B$42</f>
        <v/>
      </c>
      <c r="G17" s="23">
        <f>Assumptions!$B$42</f>
        <v/>
      </c>
    </row>
    <row r="19">
      <c r="A19" s="15" t="inlineStr">
        <is>
          <t>Subtotal before contingency</t>
        </is>
      </c>
      <c r="F19" s="24">
        <f>F11+F14+F15+F16+F17</f>
        <v/>
      </c>
      <c r="G19" s="24">
        <f>G11+G14+G15+G16+G17</f>
        <v/>
      </c>
    </row>
    <row r="20">
      <c r="A20" s="22" t="inlineStr">
        <is>
          <t>Contingency</t>
        </is>
      </c>
      <c r="F20" s="23">
        <f>F19*Assumptions!$B$44</f>
        <v/>
      </c>
      <c r="G20" s="23">
        <f>G19*Assumptions!$B$44</f>
        <v/>
      </c>
    </row>
    <row r="21">
      <c r="A21" s="25" t="inlineStr">
        <is>
          <t>GRAND TOTAL</t>
        </is>
      </c>
      <c r="F21" s="26">
        <f>F19+F20</f>
        <v/>
      </c>
      <c r="G21" s="26">
        <f>G19+G20</f>
        <v/>
      </c>
    </row>
    <row r="22">
      <c r="A22" s="2" t="inlineStr">
        <is>
          <t>Cost per traveler</t>
        </is>
      </c>
      <c r="F22" s="27">
        <f>F21/Assumptions!$B$8</f>
        <v/>
      </c>
      <c r="G22" s="27">
        <f>G21/Assumptions!$B$8</f>
        <v/>
      </c>
    </row>
  </sheetData>
  <mergeCells count="2">
    <mergeCell ref="A13:G1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2" customWidth="1" min="4" max="4"/>
    <col width="18" customWidth="1" min="5" max="5"/>
    <col width="24" customWidth="1" min="6" max="6"/>
    <col width="40" customWidth="1" min="7" max="7"/>
  </cols>
  <sheetData>
    <row r="1">
      <c r="A1" s="1" t="inlineStr">
        <is>
          <t>SPONSORS &amp; ON-GROUND CONTACTS</t>
        </is>
      </c>
    </row>
    <row r="2">
      <c r="A2" s="2" t="inlineStr">
        <is>
          <t>Grey 'TBC' cells are for the team to fill in as relationships firm up — nothing here is a confirmed deal or a live contact.</t>
        </is>
      </c>
    </row>
    <row r="4">
      <c r="A4" s="12" t="inlineStr">
        <is>
          <t>Name</t>
        </is>
      </c>
      <c r="B4" s="12" t="inlineStr">
        <is>
          <t>Category</t>
        </is>
      </c>
      <c r="C4" s="12" t="inlineStr">
        <is>
          <t>Scope</t>
        </is>
      </c>
      <c r="D4" s="12" t="inlineStr">
        <is>
          <t>Status</t>
        </is>
      </c>
      <c r="E4" s="12" t="inlineStr">
        <is>
          <t>Contact name</t>
        </is>
      </c>
      <c r="F4" s="12" t="inlineStr">
        <is>
          <t>Contact email / phone</t>
        </is>
      </c>
      <c r="G4" s="12" t="inlineStr">
        <is>
          <t>Notes</t>
        </is>
      </c>
    </row>
    <row r="5" ht="26" customHeight="1">
      <c r="A5" s="13" t="inlineStr">
        <is>
          <t>Sublime Côte d'Ivoire</t>
        </is>
      </c>
      <c r="B5" s="13" t="inlineStr">
        <is>
          <t>Tourism campaign</t>
        </is>
      </c>
      <c r="C5" s="13" t="inlineStr">
        <is>
          <t>Côte d'Ivoire</t>
        </is>
      </c>
      <c r="D5" s="13" t="inlineStr">
        <is>
          <t>Target</t>
        </is>
      </c>
      <c r="E5" s="14" t="inlineStr">
        <is>
          <t>TBC</t>
        </is>
      </c>
      <c r="F5" s="14" t="inlineStr">
        <is>
          <t>TBC</t>
        </is>
      </c>
      <c r="G5" s="14" t="inlineStr">
        <is>
          <t>Real precedent: has sponsored OM and Stade Français.</t>
        </is>
      </c>
    </row>
    <row r="6" ht="26" customHeight="1">
      <c r="A6" s="13" t="inlineStr">
        <is>
          <t>Ministry of Tourism, Ghana</t>
        </is>
      </c>
      <c r="B6" s="13" t="inlineStr">
        <is>
          <t>Government</t>
        </is>
      </c>
      <c r="C6" s="13" t="inlineStr">
        <is>
          <t>Ghana</t>
        </is>
      </c>
      <c r="D6" s="13" t="inlineStr">
        <is>
          <t>Target</t>
        </is>
      </c>
      <c r="E6" s="14" t="inlineStr">
        <is>
          <t>TBC</t>
        </is>
      </c>
      <c r="F6" s="14" t="inlineStr">
        <is>
          <t>TBC</t>
        </is>
      </c>
      <c r="G6" s="14" t="inlineStr"/>
    </row>
    <row r="7" ht="26" customHeight="1">
      <c r="A7" s="13" t="inlineStr">
        <is>
          <t>Lagos State Ministry of Tourism, Arts &amp; Culture</t>
        </is>
      </c>
      <c r="B7" s="13" t="inlineStr">
        <is>
          <t>Government</t>
        </is>
      </c>
      <c r="C7" s="13" t="inlineStr">
        <is>
          <t>Nigeria</t>
        </is>
      </c>
      <c r="D7" s="13" t="inlineStr">
        <is>
          <t>Target</t>
        </is>
      </c>
      <c r="E7" s="14" t="inlineStr">
        <is>
          <t>TBC</t>
        </is>
      </c>
      <c r="F7" s="14" t="inlineStr">
        <is>
          <t>TBC</t>
        </is>
      </c>
      <c r="G7" s="14" t="inlineStr">
        <is>
          <t>Real precedent: already backs Detty December programming.</t>
        </is>
      </c>
    </row>
    <row r="8" ht="26" customHeight="1">
      <c r="A8" s="13" t="inlineStr">
        <is>
          <t>ANPT / Bénin Révélé</t>
        </is>
      </c>
      <c r="B8" s="13" t="inlineStr">
        <is>
          <t>Government tourism body</t>
        </is>
      </c>
      <c r="C8" s="13" t="inlineStr">
        <is>
          <t>Benin</t>
        </is>
      </c>
      <c r="D8" s="13" t="inlineStr">
        <is>
          <t>Target — only if Benin confirmed</t>
        </is>
      </c>
      <c r="E8" s="14" t="inlineStr">
        <is>
          <t>TBC</t>
        </is>
      </c>
      <c r="F8" s="14" t="inlineStr">
        <is>
          <t>TBC</t>
        </is>
      </c>
      <c r="G8" s="14" t="inlineStr"/>
    </row>
    <row r="9" ht="26" customHeight="1">
      <c r="A9" s="13" t="inlineStr">
        <is>
          <t>Mother Africa Festival</t>
        </is>
      </c>
      <c r="B9" s="13" t="inlineStr">
        <is>
          <t>Festival partner</t>
        </is>
      </c>
      <c r="C9" s="13" t="inlineStr">
        <is>
          <t>Côte d'Ivoire</t>
        </is>
      </c>
      <c r="D9" s="13" t="inlineStr">
        <is>
          <t>Olivia Yacé already publicly linked</t>
        </is>
      </c>
      <c r="E9" s="14" t="inlineStr">
        <is>
          <t>TBC</t>
        </is>
      </c>
      <c r="F9" s="14" t="inlineStr">
        <is>
          <t>TBC</t>
        </is>
      </c>
      <c r="G9" s="14" t="inlineStr">
        <is>
          <t>Roster flags this as needing affiliation verification.</t>
        </is>
      </c>
    </row>
    <row r="10" ht="26" customHeight="1">
      <c r="A10" s="13" t="inlineStr">
        <is>
          <t>WeLovEya Festival</t>
        </is>
      </c>
      <c r="B10" s="13" t="inlineStr">
        <is>
          <t>Festival partner</t>
        </is>
      </c>
      <c r="C10" s="13" t="inlineStr">
        <is>
          <t>Benin</t>
        </is>
      </c>
      <c r="D10" s="13" t="inlineStr">
        <is>
          <t>Target</t>
        </is>
      </c>
      <c r="E10" s="14" t="inlineStr">
        <is>
          <t>TBC</t>
        </is>
      </c>
      <c r="F10" s="14" t="inlineStr">
        <is>
          <t>TBC</t>
        </is>
      </c>
      <c r="G10" s="14" t="inlineStr">
        <is>
          <t>Brief's 'Welovya' may be the same entity, spelled differently — confirm before outreach.</t>
        </is>
      </c>
    </row>
    <row r="11" ht="26" customHeight="1">
      <c r="A11" s="13" t="inlineStr">
        <is>
          <t>Pandora</t>
        </is>
      </c>
      <c r="B11" s="13" t="inlineStr">
        <is>
          <t>Jewelry (global)</t>
        </is>
      </c>
      <c r="C11" s="13" t="inlineStr">
        <is>
          <t>Global</t>
        </is>
      </c>
      <c r="D11" s="13" t="inlineStr">
        <is>
          <t>Target via Sheynnis Palacios</t>
        </is>
      </c>
      <c r="E11" s="14" t="inlineStr">
        <is>
          <t>TBC</t>
        </is>
      </c>
      <c r="F11" s="14" t="inlineStr">
        <is>
          <t>TBC</t>
        </is>
      </c>
      <c r="G11" s="14" t="inlineStr">
        <is>
          <t>Strongest verified brand precedent in the roster.</t>
        </is>
      </c>
    </row>
    <row r="12" ht="26" customHeight="1">
      <c r="A12" s="13" t="inlineStr">
        <is>
          <t>Festina</t>
        </is>
      </c>
      <c r="B12" s="13" t="inlineStr">
        <is>
          <t>Watches (global)</t>
        </is>
      </c>
      <c r="C12" s="13" t="inlineStr">
        <is>
          <t>Global</t>
        </is>
      </c>
      <c r="D12" s="13" t="inlineStr">
        <is>
          <t>Target via Angélique Angarni-Filopon / Alicia Aylies</t>
        </is>
      </c>
      <c r="E12" s="14" t="inlineStr">
        <is>
          <t>TBC</t>
        </is>
      </c>
      <c r="F12" s="14" t="inlineStr">
        <is>
          <t>TBC</t>
        </is>
      </c>
      <c r="G12" s="14" t="inlineStr"/>
    </row>
    <row r="13" ht="26" customHeight="1">
      <c r="A13" s="13" t="inlineStr">
        <is>
          <t>Sofitel / Accor</t>
        </is>
      </c>
      <c r="B13" s="13" t="inlineStr">
        <is>
          <t>Hospitality (global)</t>
        </is>
      </c>
      <c r="C13" s="13" t="inlineStr">
        <is>
          <t>Côte d'Ivoire, Benin</t>
        </is>
      </c>
      <c r="D13" s="13" t="inlineStr">
        <is>
          <t>Target — hotel partnership</t>
        </is>
      </c>
      <c r="E13" s="14" t="inlineStr">
        <is>
          <t>TBC</t>
        </is>
      </c>
      <c r="F13" s="14" t="inlineStr">
        <is>
          <t>TBC</t>
        </is>
      </c>
      <c r="G13" s="14" t="inlineStr">
        <is>
          <t>Both working hotel picks in this budget are Accor-family properties.</t>
        </is>
      </c>
    </row>
    <row r="14" ht="26" customHeight="1">
      <c r="A14" s="13" t="inlineStr">
        <is>
          <t>Kempinski</t>
        </is>
      </c>
      <c r="B14" s="13" t="inlineStr">
        <is>
          <t>Hospitality (global)</t>
        </is>
      </c>
      <c r="C14" s="13" t="inlineStr">
        <is>
          <t>Ghana</t>
        </is>
      </c>
      <c r="D14" s="13" t="inlineStr">
        <is>
          <t>Target — hotel partnership</t>
        </is>
      </c>
      <c r="E14" s="14" t="inlineStr">
        <is>
          <t>TBC</t>
        </is>
      </c>
      <c r="F14" s="14" t="inlineStr">
        <is>
          <t>TBC</t>
        </is>
      </c>
      <c r="G14" s="14" t="inlineStr"/>
    </row>
    <row r="15" ht="26" customHeight="1">
      <c r="A15" s="13" t="inlineStr">
        <is>
          <t>Air Côte d'Ivoire</t>
        </is>
      </c>
      <c r="B15" s="13" t="inlineStr">
        <is>
          <t>Regional airline</t>
        </is>
      </c>
      <c r="C15" s="13" t="inlineStr">
        <is>
          <t>Regional</t>
        </is>
      </c>
      <c r="D15" s="13" t="inlineStr">
        <is>
          <t>Target — intra-region flights</t>
        </is>
      </c>
      <c r="E15" s="14" t="inlineStr">
        <is>
          <t>TBC</t>
        </is>
      </c>
      <c r="F15" s="14" t="inlineStr">
        <is>
          <t>TBC</t>
        </is>
      </c>
      <c r="G15" s="14" t="inlineStr">
        <is>
          <t>Confirmed to operate all 4 target cities.</t>
        </is>
      </c>
    </row>
    <row r="17">
      <c r="A17" s="3" t="inlineStr">
        <is>
          <t>On-the-ground logistics contacts (all TBC)</t>
        </is>
      </c>
      <c r="B17" s="4" t="n"/>
      <c r="C17" s="4" t="n"/>
      <c r="D17" s="4" t="n"/>
      <c r="E17" s="4" t="n"/>
      <c r="F17" s="4" t="n"/>
      <c r="G17" s="4" t="n"/>
    </row>
    <row r="18">
      <c r="A18" s="12" t="inlineStr">
        <is>
          <t>Role</t>
        </is>
      </c>
      <c r="B18" s="12" t="inlineStr">
        <is>
          <t>City / country</t>
        </is>
      </c>
      <c r="C18" s="12" t="inlineStr"/>
      <c r="D18" s="12" t="inlineStr">
        <is>
          <t>Status</t>
        </is>
      </c>
      <c r="E18" s="12" t="inlineStr">
        <is>
          <t>Contact name</t>
        </is>
      </c>
      <c r="F18" s="12" t="inlineStr">
        <is>
          <t>Contact email / phone</t>
        </is>
      </c>
      <c r="G18" s="12" t="inlineStr">
        <is>
          <t>Notes</t>
        </is>
      </c>
    </row>
    <row r="19">
      <c r="A19" s="13" t="inlineStr">
        <is>
          <t>Local fixer / DMC</t>
        </is>
      </c>
      <c r="B19" s="13" t="inlineStr">
        <is>
          <t>Abidjan, Côte d'Ivoire</t>
        </is>
      </c>
      <c r="C19" s="13" t="inlineStr"/>
      <c r="D19" s="14" t="inlineStr">
        <is>
          <t>TBC</t>
        </is>
      </c>
      <c r="E19" s="14" t="inlineStr">
        <is>
          <t>TBC</t>
        </is>
      </c>
      <c r="F19" s="14" t="inlineStr">
        <is>
          <t>TBC</t>
        </is>
      </c>
      <c r="G19" s="13" t="inlineStr"/>
    </row>
    <row r="20">
      <c r="A20" s="13" t="inlineStr">
        <is>
          <t>Local fixer / DMC</t>
        </is>
      </c>
      <c r="B20" s="13" t="inlineStr">
        <is>
          <t>Accra, Ghana</t>
        </is>
      </c>
      <c r="C20" s="13" t="inlineStr"/>
      <c r="D20" s="14" t="inlineStr">
        <is>
          <t>TBC</t>
        </is>
      </c>
      <c r="E20" s="14" t="inlineStr">
        <is>
          <t>TBC</t>
        </is>
      </c>
      <c r="F20" s="14" t="inlineStr">
        <is>
          <t>TBC</t>
        </is>
      </c>
      <c r="G20" s="13" t="inlineStr"/>
    </row>
    <row r="21">
      <c r="A21" s="13" t="inlineStr">
        <is>
          <t>Local fixer / DMC</t>
        </is>
      </c>
      <c r="B21" s="13" t="inlineStr">
        <is>
          <t>Lagos, Nigeria</t>
        </is>
      </c>
      <c r="C21" s="13" t="inlineStr"/>
      <c r="D21" s="14" t="inlineStr">
        <is>
          <t>TBC</t>
        </is>
      </c>
      <c r="E21" s="14" t="inlineStr">
        <is>
          <t>TBC</t>
        </is>
      </c>
      <c r="F21" s="14" t="inlineStr">
        <is>
          <t>TBC</t>
        </is>
      </c>
      <c r="G21" s="13" t="inlineStr"/>
    </row>
    <row r="22">
      <c r="A22" s="13" t="inlineStr">
        <is>
          <t>Local fixer / DMC</t>
        </is>
      </c>
      <c r="B22" s="13" t="inlineStr">
        <is>
          <t>Cotonou, Benin</t>
        </is>
      </c>
      <c r="C22" s="13" t="inlineStr"/>
      <c r="D22" s="14" t="inlineStr">
        <is>
          <t>TBC</t>
        </is>
      </c>
      <c r="E22" s="14" t="inlineStr">
        <is>
          <t>TBC</t>
        </is>
      </c>
      <c r="F22" s="14" t="inlineStr">
        <is>
          <t>TBC</t>
        </is>
      </c>
      <c r="G22" s="13" t="inlineStr"/>
    </row>
    <row r="23">
      <c r="A23" s="13" t="inlineStr">
        <is>
          <t>Security lead (regional)</t>
        </is>
      </c>
      <c r="B23" s="13" t="inlineStr">
        <is>
          <t>All legs</t>
        </is>
      </c>
      <c r="C23" s="13" t="inlineStr"/>
      <c r="D23" s="14" t="inlineStr">
        <is>
          <t>TBC</t>
        </is>
      </c>
      <c r="E23" s="14" t="inlineStr">
        <is>
          <t>TBC</t>
        </is>
      </c>
      <c r="F23" s="14" t="inlineStr">
        <is>
          <t>TBC</t>
        </is>
      </c>
      <c r="G23" s="13" t="inlineStr"/>
    </row>
    <row r="24">
      <c r="A24" s="13" t="inlineStr">
        <is>
          <t>Government liaison</t>
        </is>
      </c>
      <c r="B24" s="13" t="inlineStr">
        <is>
          <t>All legs</t>
        </is>
      </c>
      <c r="C24" s="13" t="inlineStr"/>
      <c r="D24" s="14" t="inlineStr">
        <is>
          <t>TBC</t>
        </is>
      </c>
      <c r="E24" s="14" t="inlineStr">
        <is>
          <t>TBC</t>
        </is>
      </c>
      <c r="F24" s="14" t="inlineStr">
        <is>
          <t>TBC</t>
        </is>
      </c>
      <c r="G24" s="13" t="inlineStr"/>
    </row>
  </sheetData>
  <mergeCells count="2"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2026-09-15T21:39:27Z</dcterms:created>
  <dcterms:modified xsi:type="dcterms:W3CDTF">2026-09-15T21:39:27Z</dcterms:modified>
</cp:coreProperties>
</file>